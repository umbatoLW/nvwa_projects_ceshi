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项目名称</t>
        </is>
      </c>
      <c r="B1" s="1" t="inlineStr">
        <is>
          <t>链接地址</t>
        </is>
      </c>
      <c r="C1" s="1" t="inlineStr">
        <is>
          <t>项目简介</t>
        </is>
      </c>
      <c r="D1" s="1" t="inlineStr">
        <is>
          <t>发表时间</t>
        </is>
      </c>
    </row>
    <row r="2" ht="25.5" customHeight="1">
      <c r="A2" t="inlineStr">
        <is>
          <t>SkyScript-100M</t>
        </is>
      </c>
      <c r="B2" s="2" t="str">
        <f>=HYPERLINK("https://github.com/vaew/SkyScript-100M", "GitHub")</f>
        <v>GitHub</v>
      </c>
      <c r="C2" t="inlineStr">
        <is>
          <t>短剧视频制作多模态数据集，包含10亿对剧本与拍摄脚本，数据量10TB，6,660部短剧</t>
        </is>
      </c>
      <c r="D2" s="3">
        <v>45522.333333333336</v>
      </c>
    </row>
    <row r="3" ht="25.5" customHeight="1">
      <c r="A3" t="inlineStr">
        <is>
          <t>MediaCrawler</t>
        </is>
      </c>
      <c r="B3" s="2" t="str">
        <f>=HYPERLINK("https://github.com/NanmiCoder/MediaCrawler", "GitHub")</f>
        <v>GitHub</v>
      </c>
      <c r="C3" t="inlineStr">
        <is>
          <t>7大自媒体平台爬虫工具，支持小红书/抖音/快手/B站/微博/贴吧/知乎数据采集</t>
        </is>
      </c>
      <c r="D3" s="3">
        <v>45292.333333333336</v>
      </c>
    </row>
    <row r="4" ht="25.5" customHeight="1">
      <c r="A4" t="inlineStr">
        <is>
          <t>Moyin Creator (魔因漫创)</t>
        </is>
      </c>
      <c r="B4" s="2" t="str">
        <f>=HYPERLINK("https://github.com/MemeCalculate/moyin-creator", "GitHub")</f>
        <v>GitHub</v>
      </c>
      <c r="C4" t="inlineStr">
        <is>
          <t>AI影视生产级工具，支持Seedance 2.0，剧本→角色→场景→导演全流程批量生产，角色一致性6层锚点系统</t>
        </is>
      </c>
      <c r="D4" s="3">
        <v>45688.333333333336</v>
      </c>
    </row>
    <row r="5" ht="25.5" customHeight="1">
      <c r="A5" t="inlineStr">
        <is>
          <t>short-drama</t>
        </is>
      </c>
      <c r="B5" s="2" t="str">
        <f>=HYPERLINK("https://github.com/0xsline/short-drama", "GitHub")</f>
        <v>GitHub</v>
      </c>
      <c r="C5" t="inlineStr">
        <is>
          <t>专业短剧剧本创作AI技能包，从选题立项到分集撰写、质量自检、合规审核、海外出海全覆盖，13种题材模板</t>
        </is>
      </c>
      <c r="D5" s="3">
        <v>45698.88888888889</v>
      </c>
    </row>
    <row r="6" ht="25.5" customHeight="1">
      <c r="A6" t="inlineStr">
        <is>
          <t>creator-dev-kit</t>
        </is>
      </c>
      <c r="B6" s="2" t="str">
        <f>=HYPERLINK("https://github.com/NanmiCoder/creator-dev-kit", "GitHub")</f>
        <v>GitHub</v>
      </c>
      <c r="C6" t="inlineStr">
        <is>
          <t>自媒体视频开发工具包，含Claude Agent Teams教程、OpenClaw龙虾玩法演示、自媒体配置方案</t>
        </is>
      </c>
      <c r="D6" s="3">
        <v>45344</v>
      </c>
    </row>
    <row r="7" ht="25.5" customHeight="1">
      <c r="A7" t="inlineStr">
        <is>
          <t>StoryDiffusion</t>
        </is>
      </c>
      <c r="B7" s="2" t="str">
        <f>=HYPERLINK("https://github.com/HVision-NKU/StoryDiffusion", "GitHub")</f>
        <v>GitHub</v>
      </c>
      <c r="C7" t="inlineStr">
        <is>
          <t>字节跳动+南开大学开源，NeurIPS 2024，通过一致性自注意力机制生成长序列角色一致漫画/视频，支持卡通、写实、电影等多种风格</t>
        </is>
      </c>
      <c r="D7" s="3">
        <v>45414.333333333336</v>
      </c>
    </row>
    <row r="8" ht="25.5" customHeight="1">
      <c r="A8" t="inlineStr">
        <is>
          <t>AutoStory</t>
        </is>
      </c>
      <c r="B8" s="2" t="str">
        <f>=HYPERLINK("https://github.com/aim-uofa/AutoStory", "GitHub")</f>
        <v>GitHub</v>
      </c>
      <c r="C8" t="inlineStr">
        <is>
          <t>自动生成漫画故事，解决角色一致性问题，生成高质量、文本匹配、身份一致的一系列图像故事</t>
        </is>
      </c>
      <c r="D8" s="3">
        <v>45596.333333333336</v>
      </c>
    </row>
    <row r="9" ht="25.5" customHeight="1">
      <c r="A9" t="inlineStr">
        <is>
          <t>MM-StoryAgent</t>
        </is>
      </c>
      <c r="B9" s="2" t="str">
        <f>=HYPERLINK("https://github.com/X-PLUG/MM_StoryAgent", "GitHub")</f>
        <v>GitHub</v>
      </c>
      <c r="C9" t="inlineStr">
        <is>
          <t>多Agent协作的故事视频生成，包含故事设计、分镜生成、视频创作Agent，支持结果评估</t>
        </is>
      </c>
      <c r="D9" s="3">
        <v>45607.333333333336</v>
      </c>
    </row>
    <row r="10" ht="25.5" customHeight="1">
      <c r="A10" t="inlineStr">
        <is>
          <t>ai_story</t>
        </is>
      </c>
      <c r="B10" s="2" t="str">
        <f>=HYPERLINK("https://github.com/xhongc/ai_story", "GitHub")</f>
        <v>GitHub</v>
      </c>
      <c r="C10" t="inlineStr">
        <is>
          <t>开源AI漫剧生成工具，从文字到影像，支持语音合成(TTS)、多语言、虚拟角色生成</t>
        </is>
      </c>
      <c r="D10" s="3">
        <v>45649.22222222222</v>
      </c>
    </row>
    <row r="11" ht="25.5" customHeight="1">
      <c r="A11" t="inlineStr">
        <is>
          <t>Story-Flicks</t>
        </is>
      </c>
      <c r="B11" s="2" t="str">
        <f>=HYPERLINK("https://github.com/alecm20/story-flicks", "GitHub")</f>
        <v>GitHub</v>
      </c>
      <c r="C11" t="inlineStr">
        <is>
          <t>输入故事主题自动生成完整故事情节、配图、音频并转换为视频，支持多种AI生成模型</t>
        </is>
      </c>
      <c r="D11" s="3">
        <v>45322.333333333336</v>
      </c>
    </row>
    <row r="12" ht="25.5" customHeight="1">
      <c r="A12" t="inlineStr">
        <is>
          <t>waoowaoo (Waoo)</t>
        </is>
      </c>
      <c r="B12" s="2" t="str">
        <f>=HYPERLINK("https://github.com/waoowaooAI/waoo", "GitHub")</f>
        <v>GitHub</v>
      </c>
      <c r="C12" t="inlineStr">
        <is>
          <t>工业级全流程AI影视生产平台，网文转短剧神器，11k+ Stars，多Agent协作完成剧本→分镜→画面→配音全流程</t>
        </is>
      </c>
      <c r="D12" s="3">
        <v>45719.444444444445</v>
      </c>
    </row>
    <row r="13" ht="25.5" customHeight="1">
      <c r="A13" t="inlineStr">
        <is>
          <t>Huobao Drama (火宝短剧)</t>
        </is>
      </c>
      <c r="B13" s="2" t="str">
        <f>=HYPERLINK("https://github.com/chatfire-AI/huobao-drama", "GitHub")</f>
        <v>GitHub</v>
      </c>
      <c r="C13" t="inlineStr">
        <is>
          <t>一句话生成完整短剧视频，9.9k Stars，全流程自动化，Docker一键部署，新手友好</t>
        </is>
      </c>
      <c r="D13" s="3">
        <v>45658.333333333336</v>
      </c>
    </row>
    <row r="14" ht="25.5" customHeight="1">
      <c r="A14" t="inlineStr">
        <is>
          <t>drama-workshop</t>
        </is>
      </c>
      <c r="B14" s="2" t="str">
        <f>=HYPERLINK("https://github.com/jinlei665/drama-workshop", "GitHub")</f>
        <v>GitHub</v>
      </c>
      <c r="C14" t="inlineStr">
        <is>
          <t>AI一站式短剧/漫剧创作平台，剧本→资产→视频工业化工作流，拖拽式工作流编辑器，支持批量渲染</t>
        </is>
      </c>
      <c r="D14" s="3">
        <v>45719.444444444445</v>
      </c>
    </row>
    <row r="15" ht="25.5" customHeight="1">
      <c r="A15" t="inlineStr">
        <is>
          <t>LocalMiniDrama</t>
        </is>
      </c>
      <c r="B15" s="2" t="str">
        <f>=HYPERLINK("https://github.com/xuanyustudio/LocalMiniDrama", "GitHub")</f>
        <v>GitHub</v>
      </c>
      <c r="C15" t="inlineStr">
        <is>
          <t>超轻量化纯前端离线短剧工具，无需联网、数据绝不外泄，支持AI短剧/漫剧双模式生成</t>
        </is>
      </c>
      <c r="D15" s="3">
        <v>45687.333333333336</v>
      </c>
    </row>
    <row r="16" ht="25.5" customHeight="1">
      <c r="A16" t="inlineStr">
        <is>
          <t>Toonflow</t>
        </is>
      </c>
      <c r="B16" s="2" t="str">
        <f>=HYPERLINK("https://github.com/HBAI-Ltd/Toonflow-app", "GitHub")</f>
        <v>GitHub</v>
      </c>
      <c r="C16" t="inlineStr">
        <is>
          <t>AI短剧工厂，小说一键成剧，3.8k Stars，剧本自动拆分+角色卡生成+批量分镜画面生成</t>
        </is>
      </c>
      <c r="D16" s="3">
        <v>45687.333333333336</v>
      </c>
    </row>
    <row r="17" ht="25.5" customHeight="1">
      <c r="A17" t="inlineStr">
        <is>
          <t>BigBanana AI Director</t>
        </is>
      </c>
      <c r="B17" s="2" t="str">
        <f>=HYPERLINK("https://github.com/shuyu-labs/BigBanana-AI-Director", "GitHub")</f>
        <v>GitHub</v>
      </c>
      <c r="C17" t="inlineStr">
        <is>
          <t>工业级AI导演平台，摒弃"抽卡式"生成，采用Script-to-Asset-to-Keyframe工业化工作流，一句话生成完整短剧，精准控制角色一致性、场景连续性与镜头运动</t>
        </is>
      </c>
      <c r="D17" s="3">
        <v>45638.22222222222</v>
      </c>
    </row>
    <row r="18" ht="25.5" customHeight="1">
      <c r="A18" t="inlineStr">
        <is>
          <t>SkyReels-V1</t>
        </is>
      </c>
      <c r="B18" s="2" t="str">
        <f>=HYPERLINK("https://github.com/SkyworkAI/SkyReels-V1", "GitHub")</f>
        <v>GitHub</v>
      </c>
      <c r="C18" t="inlineStr">
        <is>
          <t>昆仑万维开源，中国首个AI短剧视频生成模型，单卡80秒出大片，支持33种表情+400种肢体动作，4090秒生好莱坞级短剧</t>
        </is>
      </c>
      <c r="D18" s="3">
        <v>45707.22222222222</v>
      </c>
    </row>
    <row r="19" ht="25.5" customHeight="1">
      <c r="A19" t="inlineStr">
        <is>
          <t>SkyReels-A1</t>
        </is>
      </c>
      <c r="B19" s="2" t="str">
        <f>=HYPERLINK("https://github.com/SkyworkAI/SkyReels-A1", "GitHub")</f>
        <v>GitHub</v>
      </c>
      <c r="C19" t="inlineStr">
        <is>
          <t>中国首个SOTA级表情动作可控算法，精准控制11种影视级微表情，深度理解不屑、厌恶、无助等情绪表达</t>
        </is>
      </c>
      <c r="D19" s="3">
        <v>45707.22222222222</v>
      </c>
    </row>
    <row r="20" ht="25.5" customHeight="1">
      <c r="A20" t="inlineStr">
        <is>
          <t>ViMax</t>
        </is>
      </c>
      <c r="B20" s="2" t="str">
        <f>=HYPERLINK("https://github.com/HKUDS/ViMax", "GitHub")</f>
        <v>GitHub</v>
      </c>
      <c r="C20" t="inlineStr">
        <is>
          <t>港大黄超教授团队开源，1.4k+ Stars，输入一句话AI自编自导自演完整短剧，让普通人也能当导演</t>
        </is>
      </c>
      <c r="D20" s="3">
        <v>45638.333333333336</v>
      </c>
    </row>
    <row r="21" ht="25.5" customHeight="1">
      <c r="A21" t="inlineStr">
        <is>
          <t>Immich</t>
        </is>
      </c>
      <c r="B21" s="2" t="str">
        <f>=HYPERLINK("https://github.com/immich-app/immich", "GitHub")</f>
        <v>GitHub</v>
      </c>
      <c r="C21" t="inlineStr">
        <is>
          <t>高性能自托管照片视频管理平台，支持自动备份、人脸识别、地理信息管理、API接口，适合管理短剧素材资产</t>
        </is>
      </c>
      <c r="D21" s="3">
        <v>45383.333333333336</v>
      </c>
    </row>
    <row r="22" ht="25.5" customHeight="1">
      <c r="A22" t="inlineStr">
        <is>
          <t>MediaCMS</t>
        </is>
      </c>
      <c r="B22" s="2" t="str">
        <f>=HYPERLINK("https://github.com/mediacms-io/mediacms", "GitHub")</f>
        <v>GitHub</v>
      </c>
      <c r="C22" t="inlineStr">
        <is>
          <t>现代开源视频媒体CMS，Python/Django+React构建，REST API支持，适合搭建私有视频分享平台和短剧内容管理</t>
        </is>
      </c>
      <c r="D22" s="3">
        <v>45322.333333333336</v>
      </c>
    </row>
    <row r="23" ht="25.5" customHeight="1">
      <c r="A23" t="inlineStr">
        <is>
          <t>DataHub</t>
        </is>
      </c>
      <c r="B23" s="2" t="str">
        <f>=HYPERLINK("https://github.com/datahub-project/datahub", "GitHub")</f>
        <v>GitHub</v>
      </c>
      <c r="C23" t="inlineStr">
        <is>
          <t>开源可扩展元数据管理平台，元数据采集/存储/治理，支持Hive/MySQL/ES等数据源，适合内容资产元数据管理</t>
        </is>
      </c>
      <c r="D23" s="3">
        <v>43831.333333333336</v>
      </c>
    </row>
    <row r="24" ht="25.5" customHeight="1">
      <c r="A24" t="inlineStr">
        <is>
          <t>NocoBase</t>
        </is>
      </c>
      <c r="B24" s="2" t="str">
        <f>=HYPERLINK("https://github.com/nocobase/nocobase", "GitHub")</f>
        <v>GitHub</v>
      </c>
      <c r="C24" t="inlineStr">
        <is>
          <t>开源自托管低代码/无代码平台，插件化架构，可快速搭建IT资产管理系统、工作流程和业务应用，适合短剧平台后台管理</t>
        </is>
      </c>
      <c r="D24" s="3">
        <v>44805.333333333336</v>
      </c>
    </row>
    <row r="25" ht="25.5" customHeight="1">
      <c r="A25" t="inlineStr">
        <is>
          <t>LibrePhotos</t>
        </is>
      </c>
      <c r="B25" s="2" t="str">
        <f>=HYPERLINK("https://github.com/LibrePhotos/librephotos", "GitHub")</f>
        <v>GitHub</v>
      </c>
      <c r="C25" t="inlineStr">
        <is>
          <t>开源自托管照片管理服务，智能识别、跨设备同步、自动化备份，适合管理创作素材和图片资产</t>
        </is>
      </c>
      <c r="D25" s="3">
        <v>44562.333333333336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